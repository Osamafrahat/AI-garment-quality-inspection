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s Input" sheetId="1" state="visible" r:id="rId1"/>
    <sheet name="Output by Size" sheetId="2" state="visible" r:id="rId2"/>
    <sheet name="Timeline Diagonal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E75B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</font>
    <font>
      <name val="Calibri"/>
      <b val="1"/>
      <color rgb="002E75B6"/>
      <sz val="12"/>
    </font>
    <font>
      <name val="Calibri"/>
      <b val="1"/>
      <color rgb="00FFFFFF"/>
      <sz val="10"/>
    </font>
    <font>
      <name val="Calibri"/>
      <b val="1"/>
      <color rgb="001F4E79"/>
      <sz val="18"/>
    </font>
    <font>
      <name val="Calibri"/>
      <i val="1"/>
      <color rgb="002E75B6"/>
      <sz val="11"/>
    </font>
    <font>
      <name val="Calibri"/>
      <b val="1"/>
      <color rgb="00FFFFFF"/>
      <sz val="9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6" borderId="1" pivotButton="0" quotePrefix="0" xfId="0"/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2" fillId="0" borderId="0" pivotButton="0" quotePrefix="0" xfId="0"/>
    <xf numFmtId="3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Output Pieces by Size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'Dashboard'!$A$10:$A$15</f>
            </numRef>
          </cat>
          <val>
            <numRef>
              <f>'Dashboard'!$B$10:$B$15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Size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Pieces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Output Pieces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'Dashboard'!B19</f>
            </strRef>
          </tx>
          <spPr>
            <a:solidFill>
              <a:srgbClr val="27AE60"/>
            </a:solidFill>
            <a:ln>
              <a:prstDash val="solid"/>
            </a:ln>
          </spPr>
          <cat>
            <numRef>
              <f>'Dashboard'!$A$20:$A$21</f>
            </numRef>
          </cat>
          <val>
            <numRef>
              <f>'Dashboard'!$B$20:$B$21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Pieces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Plan vs Actual Production Per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'Dashboard'!B25</f>
            </strRef>
          </tx>
          <spPr>
            <a:ln w="28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'Dashboard'!$A$26:$A$42</f>
            </numRef>
          </cat>
          <val>
            <numRef>
              <f>'Dashboard'!$B$26:$B$42</f>
            </numRef>
          </val>
        </ser>
        <ser>
          <idx val="1"/>
          <order val="1"/>
          <tx>
            <strRef>
              <f>'Dashboard'!C25</f>
            </strRef>
          </tx>
          <spPr>
            <a:ln w="28000">
              <a:solidFill>
                <a:srgbClr val="27AE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'Dashboard'!$A$26:$A$42</f>
            </numRef>
          </cat>
          <val>
            <numRef>
              <f>'Dashboard'!$C$26:$C$42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Pieces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On-Time Delivery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6EFCE"/>
              </a:solidFill>
              <a:ln>
                <a:prstDash val="solid"/>
              </a:ln>
            </spPr>
          </dPt>
          <dPt>
            <idx val="1"/>
            <spPr>
              <a:solidFill>
                <a:srgbClr val="FFEB9C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7CE"/>
              </a:solidFill>
              <a:ln>
                <a:prstDash val="solid"/>
              </a:ln>
            </spPr>
          </dPt>
          <cat>
            <numRef>
              <f>'Dashboard'!$A$45:$A$47</f>
            </numRef>
          </cat>
          <val>
            <numRef>
              <f>'Dashboard'!$B$45:$B$47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23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42</row>
      <rowOff>0</rowOff>
    </from>
    <ext cx="64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6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</cols>
  <sheetData>
    <row r="1" ht="30" customHeight="1">
      <c r="A1" s="1" t="inlineStr">
        <is>
          <t>CLOTHES INDUSTRY — CUTS INPUT SHEET</t>
        </is>
      </c>
    </row>
    <row r="2">
      <c r="A2" s="2" t="inlineStr">
        <is>
          <t>Enter cut data below  |  2 Product Lines  |  6 Sizes (S M L XL XXL XXXL)</t>
        </is>
      </c>
    </row>
    <row r="4" ht="35" customHeight="1">
      <c r="A4" s="3" t="inlineStr">
        <is>
          <t>Cut #</t>
        </is>
      </c>
      <c r="B4" s="3" t="inlineStr">
        <is>
          <t>Product Line</t>
        </is>
      </c>
      <c r="C4" s="3" t="inlineStr">
        <is>
          <t>Cut Date</t>
        </is>
      </c>
      <c r="D4" s="3" t="inlineStr">
        <is>
          <t>No. of Sheets
(Layers)</t>
        </is>
      </c>
      <c r="E4" s="3" t="inlineStr">
        <is>
          <t>Pieces per
Marker/Sheet</t>
        </is>
      </c>
      <c r="F4" s="3" t="inlineStr">
        <is>
          <t>S %</t>
        </is>
      </c>
      <c r="G4" s="3" t="inlineStr">
        <is>
          <t>M %</t>
        </is>
      </c>
      <c r="H4" s="3" t="inlineStr">
        <is>
          <t>L %</t>
        </is>
      </c>
      <c r="I4" s="3" t="inlineStr">
        <is>
          <t>XL %</t>
        </is>
      </c>
      <c r="J4" s="3" t="inlineStr">
        <is>
          <t>XXL %</t>
        </is>
      </c>
      <c r="K4" s="3" t="inlineStr">
        <is>
          <t>XXXL %</t>
        </is>
      </c>
      <c r="L4" s="3" t="inlineStr">
        <is>
          <t>Total Pieces</t>
        </is>
      </c>
    </row>
    <row r="5">
      <c r="A5" s="4" t="n">
        <v>1</v>
      </c>
      <c r="B5" s="4" t="inlineStr">
        <is>
          <t>Line A — T-Shirt</t>
        </is>
      </c>
      <c r="C5" s="5" t="inlineStr">
        <is>
          <t>2026-08-01</t>
        </is>
      </c>
      <c r="D5" s="4" t="n">
        <v>25</v>
      </c>
      <c r="E5" s="4" t="n">
        <v>16</v>
      </c>
      <c r="F5" s="6" t="n">
        <v>15</v>
      </c>
      <c r="G5" s="6" t="n">
        <v>20</v>
      </c>
      <c r="H5" s="6" t="n">
        <v>25</v>
      </c>
      <c r="I5" s="6" t="n">
        <v>20</v>
      </c>
      <c r="J5" s="6" t="n">
        <v>12</v>
      </c>
      <c r="K5" s="6" t="n">
        <v>8</v>
      </c>
      <c r="L5" s="7">
        <f>D5*E5</f>
        <v/>
      </c>
    </row>
    <row r="6">
      <c r="A6" s="4" t="n">
        <v>2</v>
      </c>
      <c r="B6" s="4" t="inlineStr">
        <is>
          <t>Line A — T-Shirt</t>
        </is>
      </c>
      <c r="C6" s="5" t="inlineStr">
        <is>
          <t>2026-08-02</t>
        </is>
      </c>
      <c r="D6" s="4" t="n">
        <v>30</v>
      </c>
      <c r="E6" s="4" t="n">
        <v>16</v>
      </c>
      <c r="F6" s="6" t="n">
        <v>15</v>
      </c>
      <c r="G6" s="6" t="n">
        <v>20</v>
      </c>
      <c r="H6" s="6" t="n">
        <v>25</v>
      </c>
      <c r="I6" s="6" t="n">
        <v>20</v>
      </c>
      <c r="J6" s="6" t="n">
        <v>12</v>
      </c>
      <c r="K6" s="6" t="n">
        <v>8</v>
      </c>
      <c r="L6" s="7">
        <f>D6*E6</f>
        <v/>
      </c>
    </row>
    <row r="7">
      <c r="A7" s="4" t="n">
        <v>3</v>
      </c>
      <c r="B7" s="4" t="inlineStr">
        <is>
          <t>Line B — Polo Shirt</t>
        </is>
      </c>
      <c r="C7" s="5" t="inlineStr">
        <is>
          <t>2026-08-03</t>
        </is>
      </c>
      <c r="D7" s="4" t="n">
        <v>20</v>
      </c>
      <c r="E7" s="4" t="n">
        <v>18</v>
      </c>
      <c r="F7" s="6" t="n">
        <v>12</v>
      </c>
      <c r="G7" s="6" t="n">
        <v>18</v>
      </c>
      <c r="H7" s="6" t="n">
        <v>25</v>
      </c>
      <c r="I7" s="6" t="n">
        <v>22</v>
      </c>
      <c r="J7" s="6" t="n">
        <v>15</v>
      </c>
      <c r="K7" s="6" t="n">
        <v>8</v>
      </c>
      <c r="L7" s="7">
        <f>D7*E7</f>
        <v/>
      </c>
    </row>
    <row r="8">
      <c r="A8" s="4" t="n">
        <v>4</v>
      </c>
      <c r="B8" s="4" t="inlineStr">
        <is>
          <t>Line A — T-Shirt</t>
        </is>
      </c>
      <c r="C8" s="5" t="inlineStr">
        <is>
          <t>2026-08-04</t>
        </is>
      </c>
      <c r="D8" s="4" t="n">
        <v>28</v>
      </c>
      <c r="E8" s="4" t="n">
        <v>16</v>
      </c>
      <c r="F8" s="6" t="n">
        <v>15</v>
      </c>
      <c r="G8" s="6" t="n">
        <v>20</v>
      </c>
      <c r="H8" s="6" t="n">
        <v>25</v>
      </c>
      <c r="I8" s="6" t="n">
        <v>20</v>
      </c>
      <c r="J8" s="6" t="n">
        <v>12</v>
      </c>
      <c r="K8" s="6" t="n">
        <v>8</v>
      </c>
      <c r="L8" s="7">
        <f>D8*E8</f>
        <v/>
      </c>
    </row>
    <row r="9">
      <c r="A9" s="4" t="n">
        <v>5</v>
      </c>
      <c r="B9" s="4" t="inlineStr">
        <is>
          <t>Line B — Polo Shirt</t>
        </is>
      </c>
      <c r="C9" s="5" t="inlineStr">
        <is>
          <t>2026-08-05</t>
        </is>
      </c>
      <c r="D9" s="4" t="n">
        <v>22</v>
      </c>
      <c r="E9" s="4" t="n">
        <v>18</v>
      </c>
      <c r="F9" s="6" t="n">
        <v>12</v>
      </c>
      <c r="G9" s="6" t="n">
        <v>18</v>
      </c>
      <c r="H9" s="6" t="n">
        <v>25</v>
      </c>
      <c r="I9" s="6" t="n">
        <v>22</v>
      </c>
      <c r="J9" s="6" t="n">
        <v>15</v>
      </c>
      <c r="K9" s="6" t="n">
        <v>8</v>
      </c>
      <c r="L9" s="7">
        <f>D9*E9</f>
        <v/>
      </c>
    </row>
    <row r="10">
      <c r="A10" s="4" t="n">
        <v>6</v>
      </c>
      <c r="B10" s="4" t="inlineStr">
        <is>
          <t>Line A — T-Shirt</t>
        </is>
      </c>
      <c r="C10" s="5" t="inlineStr">
        <is>
          <t>2026-08-06</t>
        </is>
      </c>
      <c r="D10" s="4" t="n">
        <v>35</v>
      </c>
      <c r="E10" s="4" t="n">
        <v>16</v>
      </c>
      <c r="F10" s="6" t="n">
        <v>15</v>
      </c>
      <c r="G10" s="6" t="n">
        <v>20</v>
      </c>
      <c r="H10" s="6" t="n">
        <v>25</v>
      </c>
      <c r="I10" s="6" t="n">
        <v>20</v>
      </c>
      <c r="J10" s="6" t="n">
        <v>12</v>
      </c>
      <c r="K10" s="6" t="n">
        <v>8</v>
      </c>
      <c r="L10" s="7">
        <f>D10*E10</f>
        <v/>
      </c>
    </row>
    <row r="11">
      <c r="A11" s="4" t="n">
        <v>7</v>
      </c>
      <c r="B11" s="4" t="inlineStr">
        <is>
          <t>Line B — Polo Shirt</t>
        </is>
      </c>
      <c r="C11" s="5" t="inlineStr">
        <is>
          <t>2026-08-07</t>
        </is>
      </c>
      <c r="D11" s="4" t="n">
        <v>18</v>
      </c>
      <c r="E11" s="4" t="n">
        <v>18</v>
      </c>
      <c r="F11" s="6" t="n">
        <v>12</v>
      </c>
      <c r="G11" s="6" t="n">
        <v>18</v>
      </c>
      <c r="H11" s="6" t="n">
        <v>25</v>
      </c>
      <c r="I11" s="6" t="n">
        <v>22</v>
      </c>
      <c r="J11" s="6" t="n">
        <v>15</v>
      </c>
      <c r="K11" s="6" t="n">
        <v>8</v>
      </c>
      <c r="L11" s="7">
        <f>D11*E11</f>
        <v/>
      </c>
    </row>
    <row r="12">
      <c r="A12" s="4" t="n">
        <v>8</v>
      </c>
      <c r="B12" s="4" t="inlineStr">
        <is>
          <t>Line A — T-Shirt</t>
        </is>
      </c>
      <c r="C12" s="5" t="inlineStr">
        <is>
          <t>2026-08-08</t>
        </is>
      </c>
      <c r="D12" s="4" t="n">
        <v>32</v>
      </c>
      <c r="E12" s="4" t="n">
        <v>16</v>
      </c>
      <c r="F12" s="6" t="n">
        <v>15</v>
      </c>
      <c r="G12" s="6" t="n">
        <v>20</v>
      </c>
      <c r="H12" s="6" t="n">
        <v>25</v>
      </c>
      <c r="I12" s="6" t="n">
        <v>20</v>
      </c>
      <c r="J12" s="6" t="n">
        <v>12</v>
      </c>
      <c r="K12" s="6" t="n">
        <v>8</v>
      </c>
      <c r="L12" s="7">
        <f>D12*E12</f>
        <v/>
      </c>
    </row>
    <row r="13">
      <c r="A13" s="4" t="n">
        <v>9</v>
      </c>
      <c r="B13" s="4" t="inlineStr">
        <is>
          <t>Line B — Polo Shirt</t>
        </is>
      </c>
      <c r="C13" s="5" t="inlineStr">
        <is>
          <t>2026-08-09</t>
        </is>
      </c>
      <c r="D13" s="4" t="n">
        <v>24</v>
      </c>
      <c r="E13" s="4" t="n">
        <v>18</v>
      </c>
      <c r="F13" s="6" t="n">
        <v>12</v>
      </c>
      <c r="G13" s="6" t="n">
        <v>18</v>
      </c>
      <c r="H13" s="6" t="n">
        <v>25</v>
      </c>
      <c r="I13" s="6" t="n">
        <v>22</v>
      </c>
      <c r="J13" s="6" t="n">
        <v>15</v>
      </c>
      <c r="K13" s="6" t="n">
        <v>8</v>
      </c>
      <c r="L13" s="7">
        <f>D13*E13</f>
        <v/>
      </c>
    </row>
    <row r="14">
      <c r="A14" s="4" t="n">
        <v>10</v>
      </c>
      <c r="B14" s="4" t="inlineStr">
        <is>
          <t>Line A — T-Shirt</t>
        </is>
      </c>
      <c r="C14" s="5" t="inlineStr">
        <is>
          <t>2026-08-10</t>
        </is>
      </c>
      <c r="D14" s="4" t="n">
        <v>27</v>
      </c>
      <c r="E14" s="4" t="n">
        <v>16</v>
      </c>
      <c r="F14" s="6" t="n">
        <v>15</v>
      </c>
      <c r="G14" s="6" t="n">
        <v>20</v>
      </c>
      <c r="H14" s="6" t="n">
        <v>25</v>
      </c>
      <c r="I14" s="6" t="n">
        <v>20</v>
      </c>
      <c r="J14" s="6" t="n">
        <v>12</v>
      </c>
      <c r="K14" s="6" t="n">
        <v>8</v>
      </c>
      <c r="L14" s="7">
        <f>D14*E14</f>
        <v/>
      </c>
    </row>
    <row r="15">
      <c r="A15" s="4" t="n">
        <v>11</v>
      </c>
      <c r="B15" s="4" t="inlineStr">
        <is>
          <t>Line B — Polo Shirt</t>
        </is>
      </c>
      <c r="C15" s="5" t="inlineStr">
        <is>
          <t>2026-08-11</t>
        </is>
      </c>
      <c r="D15" s="4" t="n">
        <v>26</v>
      </c>
      <c r="E15" s="4" t="n">
        <v>18</v>
      </c>
      <c r="F15" s="6" t="n">
        <v>12</v>
      </c>
      <c r="G15" s="6" t="n">
        <v>18</v>
      </c>
      <c r="H15" s="6" t="n">
        <v>25</v>
      </c>
      <c r="I15" s="6" t="n">
        <v>22</v>
      </c>
      <c r="J15" s="6" t="n">
        <v>15</v>
      </c>
      <c r="K15" s="6" t="n">
        <v>8</v>
      </c>
      <c r="L15" s="7">
        <f>D15*E15</f>
        <v/>
      </c>
    </row>
    <row r="16">
      <c r="A16" s="4" t="n">
        <v>12</v>
      </c>
      <c r="B16" s="4" t="inlineStr">
        <is>
          <t>Line A — T-Shirt</t>
        </is>
      </c>
      <c r="C16" s="5" t="inlineStr">
        <is>
          <t>2026-08-12</t>
        </is>
      </c>
      <c r="D16" s="4" t="n">
        <v>30</v>
      </c>
      <c r="E16" s="4" t="n">
        <v>16</v>
      </c>
      <c r="F16" s="6" t="n">
        <v>15</v>
      </c>
      <c r="G16" s="6" t="n">
        <v>20</v>
      </c>
      <c r="H16" s="6" t="n">
        <v>25</v>
      </c>
      <c r="I16" s="6" t="n">
        <v>20</v>
      </c>
      <c r="J16" s="6" t="n">
        <v>12</v>
      </c>
      <c r="K16" s="6" t="n">
        <v>8</v>
      </c>
      <c r="L16" s="7">
        <f>D16*E16</f>
        <v/>
      </c>
    </row>
    <row r="17">
      <c r="A17" s="4" t="n">
        <v>13</v>
      </c>
      <c r="B17" s="4" t="inlineStr">
        <is>
          <t>Line B — Polo Shirt</t>
        </is>
      </c>
      <c r="C17" s="5" t="inlineStr">
        <is>
          <t>2026-08-13</t>
        </is>
      </c>
      <c r="D17" s="4" t="n">
        <v>20</v>
      </c>
      <c r="E17" s="4" t="n">
        <v>18</v>
      </c>
      <c r="F17" s="6" t="n">
        <v>12</v>
      </c>
      <c r="G17" s="6" t="n">
        <v>18</v>
      </c>
      <c r="H17" s="6" t="n">
        <v>25</v>
      </c>
      <c r="I17" s="6" t="n">
        <v>22</v>
      </c>
      <c r="J17" s="6" t="n">
        <v>15</v>
      </c>
      <c r="K17" s="6" t="n">
        <v>8</v>
      </c>
      <c r="L17" s="7">
        <f>D17*E17</f>
        <v/>
      </c>
    </row>
    <row r="18">
      <c r="A18" s="4" t="n">
        <v>14</v>
      </c>
      <c r="B18" s="4" t="inlineStr">
        <is>
          <t>Line A — T-Shirt</t>
        </is>
      </c>
      <c r="C18" s="5" t="inlineStr">
        <is>
          <t>2026-08-14</t>
        </is>
      </c>
      <c r="D18" s="4" t="n">
        <v>34</v>
      </c>
      <c r="E18" s="4" t="n">
        <v>16</v>
      </c>
      <c r="F18" s="6" t="n">
        <v>15</v>
      </c>
      <c r="G18" s="6" t="n">
        <v>20</v>
      </c>
      <c r="H18" s="6" t="n">
        <v>25</v>
      </c>
      <c r="I18" s="6" t="n">
        <v>20</v>
      </c>
      <c r="J18" s="6" t="n">
        <v>12</v>
      </c>
      <c r="K18" s="6" t="n">
        <v>8</v>
      </c>
      <c r="L18" s="7">
        <f>D18*E18</f>
        <v/>
      </c>
    </row>
    <row r="19">
      <c r="A19" s="8" t="inlineStr">
        <is>
          <t>TOTAL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10">
        <f>SUM(L5:L18)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R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OUTPUT PIECES BY SIZE</t>
        </is>
      </c>
    </row>
    <row r="2">
      <c r="A2" s="2" t="inlineStr">
        <is>
          <t>Calculated from Cuts Input  |  Pieces = Sheets × Marker × Size %</t>
        </is>
      </c>
    </row>
    <row r="4" ht="28" customHeight="1">
      <c r="A4" s="3" t="inlineStr">
        <is>
          <t>Cut #</t>
        </is>
      </c>
      <c r="B4" s="3" t="inlineStr">
        <is>
          <t>Product Line</t>
        </is>
      </c>
      <c r="C4" s="3" t="inlineStr">
        <is>
          <t>Cut Date</t>
        </is>
      </c>
      <c r="D4" s="3" t="inlineStr">
        <is>
          <t>S</t>
        </is>
      </c>
      <c r="E4" s="3" t="inlineStr">
        <is>
          <t>M</t>
        </is>
      </c>
      <c r="F4" s="3" t="inlineStr">
        <is>
          <t>L</t>
        </is>
      </c>
      <c r="G4" s="3" t="inlineStr">
        <is>
          <t>XL</t>
        </is>
      </c>
      <c r="H4" s="3" t="inlineStr">
        <is>
          <t>XXL</t>
        </is>
      </c>
      <c r="I4" s="3" t="inlineStr">
        <is>
          <t>XXXL</t>
        </is>
      </c>
      <c r="K4" s="11" t="inlineStr">
        <is>
          <t>SUMMARY BY LINE</t>
        </is>
      </c>
    </row>
    <row r="5">
      <c r="A5" s="4" t="n">
        <v>1</v>
      </c>
      <c r="B5" s="4" t="inlineStr">
        <is>
          <t>Line A — T-Shirt</t>
        </is>
      </c>
      <c r="C5" s="4" t="inlineStr">
        <is>
          <t>2026-08-01</t>
        </is>
      </c>
      <c r="D5" s="12">
        <f>'Cuts Input'!D5*'Cuts Input'!E5*'F5</f>
        <v/>
      </c>
      <c r="E5" s="12">
        <f>'Cuts Input'!D5*'Cuts Input'!E5*'G5</f>
        <v/>
      </c>
      <c r="F5" s="12">
        <f>'Cuts Input'!D5*'Cuts Input'!E5*'H5</f>
        <v/>
      </c>
      <c r="G5" s="12">
        <f>'Cuts Input'!D5*'Cuts Input'!E5*'I5</f>
        <v/>
      </c>
      <c r="H5" s="12">
        <f>'Cuts Input'!D5*'Cuts Input'!E5*'J5</f>
        <v/>
      </c>
      <c r="I5" s="12">
        <f>'Cuts Input'!D5*'Cuts Input'!E5*'K5</f>
        <v/>
      </c>
      <c r="K5" s="3" t="inlineStr">
        <is>
          <t>Product Line</t>
        </is>
      </c>
      <c r="L5" s="3" t="inlineStr">
        <is>
          <t>S</t>
        </is>
      </c>
      <c r="M5" s="3" t="inlineStr">
        <is>
          <t>M</t>
        </is>
      </c>
      <c r="N5" s="3" t="inlineStr">
        <is>
          <t>L</t>
        </is>
      </c>
      <c r="O5" s="3" t="inlineStr">
        <is>
          <t>XL</t>
        </is>
      </c>
      <c r="P5" s="3" t="inlineStr">
        <is>
          <t>XXL</t>
        </is>
      </c>
      <c r="Q5" s="3" t="inlineStr">
        <is>
          <t>XXXL</t>
        </is>
      </c>
      <c r="R5" s="3" t="inlineStr">
        <is>
          <t>Total</t>
        </is>
      </c>
    </row>
    <row r="6">
      <c r="A6" s="4" t="n">
        <v>2</v>
      </c>
      <c r="B6" s="4" t="inlineStr">
        <is>
          <t>Line A — T-Shirt</t>
        </is>
      </c>
      <c r="C6" s="4" t="inlineStr">
        <is>
          <t>2026-08-02</t>
        </is>
      </c>
      <c r="D6" s="12">
        <f>'Cuts Input'!D6*'Cuts Input'!E6*'F6</f>
        <v/>
      </c>
      <c r="E6" s="12">
        <f>'Cuts Input'!D6*'Cuts Input'!E6*'G6</f>
        <v/>
      </c>
      <c r="F6" s="12">
        <f>'Cuts Input'!D6*'Cuts Input'!E6*'H6</f>
        <v/>
      </c>
      <c r="G6" s="12">
        <f>'Cuts Input'!D6*'Cuts Input'!E6*'I6</f>
        <v/>
      </c>
      <c r="H6" s="12">
        <f>'Cuts Input'!D6*'Cuts Input'!E6*'J6</f>
        <v/>
      </c>
      <c r="I6" s="12">
        <f>'Cuts Input'!D6*'Cuts Input'!E6*'K6</f>
        <v/>
      </c>
      <c r="K6" s="13" t="inlineStr">
        <is>
          <t>Line A — T-Shirt</t>
        </is>
      </c>
      <c r="L6" s="12" t="inlineStr">
        <is>
          <t>D5+D6+D8+D10+D12+D14+D16+D18</t>
        </is>
      </c>
      <c r="M6" s="12" t="inlineStr">
        <is>
          <t>E5+E6+E8+E10+E12+E14+E16+E18</t>
        </is>
      </c>
      <c r="N6" s="12" t="inlineStr">
        <is>
          <t>F5+F6+F8+F10+F12+F14+F16+F18</t>
        </is>
      </c>
      <c r="O6" s="12" t="inlineStr">
        <is>
          <t>G5+G6+G8+G10+G12+G14+G16+G18</t>
        </is>
      </c>
      <c r="P6" s="12" t="inlineStr">
        <is>
          <t>H5+H6+H8+H10+H12+H14+H16+H18</t>
        </is>
      </c>
      <c r="Q6" s="12" t="inlineStr">
        <is>
          <t>I5+I6+I8+I10+I12+I14+I16+I18</t>
        </is>
      </c>
      <c r="R6" s="7">
        <f>SUM(L6:Q6)</f>
        <v/>
      </c>
    </row>
    <row r="7">
      <c r="A7" s="4" t="n">
        <v>3</v>
      </c>
      <c r="B7" s="4" t="inlineStr">
        <is>
          <t>Line B — Polo Shirt</t>
        </is>
      </c>
      <c r="C7" s="4" t="inlineStr">
        <is>
          <t>2026-08-03</t>
        </is>
      </c>
      <c r="D7" s="12">
        <f>'Cuts Input'!D7*'Cuts Input'!E7*'F7</f>
        <v/>
      </c>
      <c r="E7" s="12">
        <f>'Cuts Input'!D7*'Cuts Input'!E7*'G7</f>
        <v/>
      </c>
      <c r="F7" s="12">
        <f>'Cuts Input'!D7*'Cuts Input'!E7*'H7</f>
        <v/>
      </c>
      <c r="G7" s="12">
        <f>'Cuts Input'!D7*'Cuts Input'!E7*'I7</f>
        <v/>
      </c>
      <c r="H7" s="12">
        <f>'Cuts Input'!D7*'Cuts Input'!E7*'J7</f>
        <v/>
      </c>
      <c r="I7" s="12">
        <f>'Cuts Input'!D7*'Cuts Input'!E7*'K7</f>
        <v/>
      </c>
      <c r="K7" s="13" t="inlineStr">
        <is>
          <t>Line B — Polo Shirt</t>
        </is>
      </c>
      <c r="L7" s="12" t="inlineStr">
        <is>
          <t>D7+D9+D11+D13+D15+D17</t>
        </is>
      </c>
      <c r="M7" s="12" t="inlineStr">
        <is>
          <t>E7+E9+E11+E13+E15+E17</t>
        </is>
      </c>
      <c r="N7" s="12" t="inlineStr">
        <is>
          <t>F7+F9+F11+F13+F15+F17</t>
        </is>
      </c>
      <c r="O7" s="12" t="inlineStr">
        <is>
          <t>G7+G9+G11+G13+G15+G17</t>
        </is>
      </c>
      <c r="P7" s="12" t="inlineStr">
        <is>
          <t>H7+H9+H11+H13+H15+H17</t>
        </is>
      </c>
      <c r="Q7" s="12" t="inlineStr">
        <is>
          <t>I7+I9+I11+I13+I15+I17</t>
        </is>
      </c>
      <c r="R7" s="7">
        <f>SUM(L7:Q7)</f>
        <v/>
      </c>
    </row>
    <row r="8">
      <c r="A8" s="4" t="n">
        <v>4</v>
      </c>
      <c r="B8" s="4" t="inlineStr">
        <is>
          <t>Line A — T-Shirt</t>
        </is>
      </c>
      <c r="C8" s="4" t="inlineStr">
        <is>
          <t>2026-08-04</t>
        </is>
      </c>
      <c r="D8" s="12">
        <f>'Cuts Input'!D8*'Cuts Input'!E8*'F8</f>
        <v/>
      </c>
      <c r="E8" s="12">
        <f>'Cuts Input'!D8*'Cuts Input'!E8*'G8</f>
        <v/>
      </c>
      <c r="F8" s="12">
        <f>'Cuts Input'!D8*'Cuts Input'!E8*'H8</f>
        <v/>
      </c>
      <c r="G8" s="12">
        <f>'Cuts Input'!D8*'Cuts Input'!E8*'I8</f>
        <v/>
      </c>
      <c r="H8" s="12">
        <f>'Cuts Input'!D8*'Cuts Input'!E8*'J8</f>
        <v/>
      </c>
      <c r="I8" s="12">
        <f>'Cuts Input'!D8*'Cuts Input'!E8*'K8</f>
        <v/>
      </c>
    </row>
    <row r="9">
      <c r="A9" s="4" t="n">
        <v>5</v>
      </c>
      <c r="B9" s="4" t="inlineStr">
        <is>
          <t>Line B — Polo Shirt</t>
        </is>
      </c>
      <c r="C9" s="4" t="inlineStr">
        <is>
          <t>2026-08-05</t>
        </is>
      </c>
      <c r="D9" s="12">
        <f>'Cuts Input'!D9*'Cuts Input'!E9*'F9</f>
        <v/>
      </c>
      <c r="E9" s="12">
        <f>'Cuts Input'!D9*'Cuts Input'!E9*'G9</f>
        <v/>
      </c>
      <c r="F9" s="12">
        <f>'Cuts Input'!D9*'Cuts Input'!E9*'H9</f>
        <v/>
      </c>
      <c r="G9" s="12">
        <f>'Cuts Input'!D9*'Cuts Input'!E9*'I9</f>
        <v/>
      </c>
      <c r="H9" s="12">
        <f>'Cuts Input'!D9*'Cuts Input'!E9*'J9</f>
        <v/>
      </c>
      <c r="I9" s="12">
        <f>'Cuts Input'!D9*'Cuts Input'!E9*'K9</f>
        <v/>
      </c>
    </row>
    <row r="10">
      <c r="A10" s="4" t="n">
        <v>6</v>
      </c>
      <c r="B10" s="4" t="inlineStr">
        <is>
          <t>Line A — T-Shirt</t>
        </is>
      </c>
      <c r="C10" s="4" t="inlineStr">
        <is>
          <t>2026-08-06</t>
        </is>
      </c>
      <c r="D10" s="12">
        <f>'Cuts Input'!D10*'Cuts Input'!E10*'F10</f>
        <v/>
      </c>
      <c r="E10" s="12">
        <f>'Cuts Input'!D10*'Cuts Input'!E10*'G10</f>
        <v/>
      </c>
      <c r="F10" s="12">
        <f>'Cuts Input'!D10*'Cuts Input'!E10*'H10</f>
        <v/>
      </c>
      <c r="G10" s="12">
        <f>'Cuts Input'!D10*'Cuts Input'!E10*'I10</f>
        <v/>
      </c>
      <c r="H10" s="12">
        <f>'Cuts Input'!D10*'Cuts Input'!E10*'J10</f>
        <v/>
      </c>
      <c r="I10" s="12">
        <f>'Cuts Input'!D10*'Cuts Input'!E10*'K10</f>
        <v/>
      </c>
    </row>
    <row r="11">
      <c r="A11" s="4" t="n">
        <v>7</v>
      </c>
      <c r="B11" s="4" t="inlineStr">
        <is>
          <t>Line B — Polo Shirt</t>
        </is>
      </c>
      <c r="C11" s="4" t="inlineStr">
        <is>
          <t>2026-08-07</t>
        </is>
      </c>
      <c r="D11" s="12">
        <f>'Cuts Input'!D11*'Cuts Input'!E11*'F11</f>
        <v/>
      </c>
      <c r="E11" s="12">
        <f>'Cuts Input'!D11*'Cuts Input'!E11*'G11</f>
        <v/>
      </c>
      <c r="F11" s="12">
        <f>'Cuts Input'!D11*'Cuts Input'!E11*'H11</f>
        <v/>
      </c>
      <c r="G11" s="12">
        <f>'Cuts Input'!D11*'Cuts Input'!E11*'I11</f>
        <v/>
      </c>
      <c r="H11" s="12">
        <f>'Cuts Input'!D11*'Cuts Input'!E11*'J11</f>
        <v/>
      </c>
      <c r="I11" s="12">
        <f>'Cuts Input'!D11*'Cuts Input'!E11*'K11</f>
        <v/>
      </c>
    </row>
    <row r="12">
      <c r="A12" s="4" t="n">
        <v>8</v>
      </c>
      <c r="B12" s="4" t="inlineStr">
        <is>
          <t>Line A — T-Shirt</t>
        </is>
      </c>
      <c r="C12" s="4" t="inlineStr">
        <is>
          <t>2026-08-08</t>
        </is>
      </c>
      <c r="D12" s="12">
        <f>'Cuts Input'!D12*'Cuts Input'!E12*'F12</f>
        <v/>
      </c>
      <c r="E12" s="12">
        <f>'Cuts Input'!D12*'Cuts Input'!E12*'G12</f>
        <v/>
      </c>
      <c r="F12" s="12">
        <f>'Cuts Input'!D12*'Cuts Input'!E12*'H12</f>
        <v/>
      </c>
      <c r="G12" s="12">
        <f>'Cuts Input'!D12*'Cuts Input'!E12*'I12</f>
        <v/>
      </c>
      <c r="H12" s="12">
        <f>'Cuts Input'!D12*'Cuts Input'!E12*'J12</f>
        <v/>
      </c>
      <c r="I12" s="12">
        <f>'Cuts Input'!D12*'Cuts Input'!E12*'K12</f>
        <v/>
      </c>
    </row>
    <row r="13">
      <c r="A13" s="4" t="n">
        <v>9</v>
      </c>
      <c r="B13" s="4" t="inlineStr">
        <is>
          <t>Line B — Polo Shirt</t>
        </is>
      </c>
      <c r="C13" s="4" t="inlineStr">
        <is>
          <t>2026-08-09</t>
        </is>
      </c>
      <c r="D13" s="12">
        <f>'Cuts Input'!D13*'Cuts Input'!E13*'F13</f>
        <v/>
      </c>
      <c r="E13" s="12">
        <f>'Cuts Input'!D13*'Cuts Input'!E13*'G13</f>
        <v/>
      </c>
      <c r="F13" s="12">
        <f>'Cuts Input'!D13*'Cuts Input'!E13*'H13</f>
        <v/>
      </c>
      <c r="G13" s="12">
        <f>'Cuts Input'!D13*'Cuts Input'!E13*'I13</f>
        <v/>
      </c>
      <c r="H13" s="12">
        <f>'Cuts Input'!D13*'Cuts Input'!E13*'J13</f>
        <v/>
      </c>
      <c r="I13" s="12">
        <f>'Cuts Input'!D13*'Cuts Input'!E13*'K13</f>
        <v/>
      </c>
    </row>
    <row r="14">
      <c r="A14" s="4" t="n">
        <v>10</v>
      </c>
      <c r="B14" s="4" t="inlineStr">
        <is>
          <t>Line A — T-Shirt</t>
        </is>
      </c>
      <c r="C14" s="4" t="inlineStr">
        <is>
          <t>2026-08-10</t>
        </is>
      </c>
      <c r="D14" s="12">
        <f>'Cuts Input'!D14*'Cuts Input'!E14*'F14</f>
        <v/>
      </c>
      <c r="E14" s="12">
        <f>'Cuts Input'!D14*'Cuts Input'!E14*'G14</f>
        <v/>
      </c>
      <c r="F14" s="12">
        <f>'Cuts Input'!D14*'Cuts Input'!E14*'H14</f>
        <v/>
      </c>
      <c r="G14" s="12">
        <f>'Cuts Input'!D14*'Cuts Input'!E14*'I14</f>
        <v/>
      </c>
      <c r="H14" s="12">
        <f>'Cuts Input'!D14*'Cuts Input'!E14*'J14</f>
        <v/>
      </c>
      <c r="I14" s="12">
        <f>'Cuts Input'!D14*'Cuts Input'!E14*'K14</f>
        <v/>
      </c>
    </row>
    <row r="15">
      <c r="A15" s="4" t="n">
        <v>11</v>
      </c>
      <c r="B15" s="4" t="inlineStr">
        <is>
          <t>Line B — Polo Shirt</t>
        </is>
      </c>
      <c r="C15" s="4" t="inlineStr">
        <is>
          <t>2026-08-11</t>
        </is>
      </c>
      <c r="D15" s="12">
        <f>'Cuts Input'!D15*'Cuts Input'!E15*'F15</f>
        <v/>
      </c>
      <c r="E15" s="12">
        <f>'Cuts Input'!D15*'Cuts Input'!E15*'G15</f>
        <v/>
      </c>
      <c r="F15" s="12">
        <f>'Cuts Input'!D15*'Cuts Input'!E15*'H15</f>
        <v/>
      </c>
      <c r="G15" s="12">
        <f>'Cuts Input'!D15*'Cuts Input'!E15*'I15</f>
        <v/>
      </c>
      <c r="H15" s="12">
        <f>'Cuts Input'!D15*'Cuts Input'!E15*'J15</f>
        <v/>
      </c>
      <c r="I15" s="12">
        <f>'Cuts Input'!D15*'Cuts Input'!E15*'K15</f>
        <v/>
      </c>
    </row>
    <row r="16">
      <c r="A16" s="4" t="n">
        <v>12</v>
      </c>
      <c r="B16" s="4" t="inlineStr">
        <is>
          <t>Line A — T-Shirt</t>
        </is>
      </c>
      <c r="C16" s="4" t="inlineStr">
        <is>
          <t>2026-08-12</t>
        </is>
      </c>
      <c r="D16" s="12">
        <f>'Cuts Input'!D16*'Cuts Input'!E16*'F16</f>
        <v/>
      </c>
      <c r="E16" s="12">
        <f>'Cuts Input'!D16*'Cuts Input'!E16*'G16</f>
        <v/>
      </c>
      <c r="F16" s="12">
        <f>'Cuts Input'!D16*'Cuts Input'!E16*'H16</f>
        <v/>
      </c>
      <c r="G16" s="12">
        <f>'Cuts Input'!D16*'Cuts Input'!E16*'I16</f>
        <v/>
      </c>
      <c r="H16" s="12">
        <f>'Cuts Input'!D16*'Cuts Input'!E16*'J16</f>
        <v/>
      </c>
      <c r="I16" s="12">
        <f>'Cuts Input'!D16*'Cuts Input'!E16*'K16</f>
        <v/>
      </c>
    </row>
    <row r="17">
      <c r="A17" s="4" t="n">
        <v>13</v>
      </c>
      <c r="B17" s="4" t="inlineStr">
        <is>
          <t>Line B — Polo Shirt</t>
        </is>
      </c>
      <c r="C17" s="4" t="inlineStr">
        <is>
          <t>2026-08-13</t>
        </is>
      </c>
      <c r="D17" s="12">
        <f>'Cuts Input'!D17*'Cuts Input'!E17*'F17</f>
        <v/>
      </c>
      <c r="E17" s="12">
        <f>'Cuts Input'!D17*'Cuts Input'!E17*'G17</f>
        <v/>
      </c>
      <c r="F17" s="12">
        <f>'Cuts Input'!D17*'Cuts Input'!E17*'H17</f>
        <v/>
      </c>
      <c r="G17" s="12">
        <f>'Cuts Input'!D17*'Cuts Input'!E17*'I17</f>
        <v/>
      </c>
      <c r="H17" s="12">
        <f>'Cuts Input'!D17*'Cuts Input'!E17*'J17</f>
        <v/>
      </c>
      <c r="I17" s="12">
        <f>'Cuts Input'!D17*'Cuts Input'!E17*'K17</f>
        <v/>
      </c>
    </row>
    <row r="18">
      <c r="A18" s="4" t="n">
        <v>14</v>
      </c>
      <c r="B18" s="4" t="inlineStr">
        <is>
          <t>Line A — T-Shirt</t>
        </is>
      </c>
      <c r="C18" s="4" t="inlineStr">
        <is>
          <t>2026-08-14</t>
        </is>
      </c>
      <c r="D18" s="12">
        <f>'Cuts Input'!D18*'Cuts Input'!E18*'F18</f>
        <v/>
      </c>
      <c r="E18" s="12">
        <f>'Cuts Input'!D18*'Cuts Input'!E18*'G18</f>
        <v/>
      </c>
      <c r="F18" s="12">
        <f>'Cuts Input'!D18*'Cuts Input'!E18*'H18</f>
        <v/>
      </c>
      <c r="G18" s="12">
        <f>'Cuts Input'!D18*'Cuts Input'!E18*'I18</f>
        <v/>
      </c>
      <c r="H18" s="12">
        <f>'Cuts Input'!D18*'Cuts Input'!E18*'J18</f>
        <v/>
      </c>
      <c r="I18" s="12">
        <f>'Cuts Input'!D18*'Cuts Input'!E18*'K18</f>
        <v/>
      </c>
    </row>
    <row r="19">
      <c r="A19" s="14" t="inlineStr">
        <is>
          <t>TOTAL</t>
        </is>
      </c>
      <c r="B19" s="15" t="n"/>
      <c r="C19" s="15" t="n"/>
      <c r="D19" s="10">
        <f>SUM(D5:D18)</f>
        <v/>
      </c>
      <c r="E19" s="10">
        <f>SUM(E5:E18)</f>
        <v/>
      </c>
      <c r="F19" s="10">
        <f>SUM(F5:F18)</f>
        <v/>
      </c>
      <c r="G19" s="10">
        <f>SUM(G5:G18)</f>
        <v/>
      </c>
      <c r="H19" s="10">
        <f>SUM(H5:H18)</f>
        <v/>
      </c>
      <c r="I19" s="10">
        <f>SUM(I5:I18)</f>
        <v/>
      </c>
    </row>
  </sheetData>
  <mergeCells count="3">
    <mergeCell ref="A1:I1"/>
    <mergeCell ref="K4:R4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R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30" customHeight="1">
      <c r="A1" s="1" t="inlineStr">
        <is>
          <t>PRODUCTION TIMELINE — ON-TIME DIAGONAL</t>
        </is>
      </c>
    </row>
    <row r="2">
      <c r="A2" s="2" t="inlineStr">
        <is>
          <t>Diagonal = On-Time  |  Below Diagonal = Late  |  Above Diagonal = Early</t>
        </is>
      </c>
    </row>
    <row r="4">
      <c r="A4" s="16" t="inlineStr">
        <is>
          <t>CUT-TO-SHIP PLAN</t>
        </is>
      </c>
    </row>
    <row r="5">
      <c r="A5" s="3" t="inlineStr">
        <is>
          <t>Cut #</t>
        </is>
      </c>
      <c r="B5" s="3" t="inlineStr">
        <is>
          <t>Product Line</t>
        </is>
      </c>
      <c r="C5" s="3" t="inlineStr">
        <is>
          <t>Cut Day</t>
        </is>
      </c>
      <c r="D5" s="3" t="inlineStr">
        <is>
          <t>Planned Ship Day</t>
        </is>
      </c>
      <c r="E5" s="3" t="inlineStr">
        <is>
          <t>Actual Ship Day</t>
        </is>
      </c>
      <c r="F5" s="3" t="inlineStr">
        <is>
          <t>Status</t>
        </is>
      </c>
      <c r="G5" s="3" t="inlineStr">
        <is>
          <t>S</t>
        </is>
      </c>
      <c r="H5" s="3" t="inlineStr">
        <is>
          <t>M</t>
        </is>
      </c>
      <c r="I5" s="3" t="inlineStr">
        <is>
          <t>L</t>
        </is>
      </c>
      <c r="J5" s="3" t="inlineStr">
        <is>
          <t>XL</t>
        </is>
      </c>
      <c r="K5" s="3" t="inlineStr">
        <is>
          <t>XXL</t>
        </is>
      </c>
      <c r="L5" s="3" t="inlineStr">
        <is>
          <t>XXXL</t>
        </is>
      </c>
    </row>
    <row r="6">
      <c r="A6" s="4" t="n">
        <v>1</v>
      </c>
      <c r="B6" s="4" t="inlineStr">
        <is>
          <t>Line A — T-Shirt</t>
        </is>
      </c>
      <c r="C6" s="4" t="n">
        <v>1</v>
      </c>
      <c r="D6" s="4" t="n">
        <v>3</v>
      </c>
      <c r="E6" s="4" t="n">
        <v>3</v>
      </c>
      <c r="F6" s="17" t="inlineStr">
        <is>
          <t>ON TIME</t>
        </is>
      </c>
      <c r="G6" s="12">
        <f>'Cuts Input'!D5*'Cuts Input'!E5*'F5'</f>
        <v/>
      </c>
      <c r="H6" s="12">
        <f>'Cuts Input'!D5*'Cuts Input'!E5*'G5'</f>
        <v/>
      </c>
      <c r="I6" s="12">
        <f>'Cuts Input'!D5*'Cuts Input'!E5*'H5'</f>
        <v/>
      </c>
      <c r="J6" s="12">
        <f>'Cuts Input'!D5*'Cuts Input'!E5*'I5'</f>
        <v/>
      </c>
      <c r="K6" s="12">
        <f>'Cuts Input'!D5*'Cuts Input'!E5*'J5'</f>
        <v/>
      </c>
      <c r="L6" s="12">
        <f>'Cuts Input'!D5*'Cuts Input'!E5*'K5'</f>
        <v/>
      </c>
    </row>
    <row r="7">
      <c r="A7" s="4" t="n">
        <v>2</v>
      </c>
      <c r="B7" s="4" t="inlineStr">
        <is>
          <t>Line A — T-Shirt</t>
        </is>
      </c>
      <c r="C7" s="4" t="n">
        <v>2</v>
      </c>
      <c r="D7" s="4" t="n">
        <v>4</v>
      </c>
      <c r="E7" s="4" t="n">
        <v>4</v>
      </c>
      <c r="F7" s="17" t="inlineStr">
        <is>
          <t>ON TIME</t>
        </is>
      </c>
      <c r="G7" s="12">
        <f>'Cuts Input'!D6*'Cuts Input'!E6*'F6'</f>
        <v/>
      </c>
      <c r="H7" s="12">
        <f>'Cuts Input'!D6*'Cuts Input'!E6*'G6'</f>
        <v/>
      </c>
      <c r="I7" s="12">
        <f>'Cuts Input'!D6*'Cuts Input'!E6*'H6'</f>
        <v/>
      </c>
      <c r="J7" s="12">
        <f>'Cuts Input'!D6*'Cuts Input'!E6*'I6'</f>
        <v/>
      </c>
      <c r="K7" s="12">
        <f>'Cuts Input'!D6*'Cuts Input'!E6*'J6'</f>
        <v/>
      </c>
      <c r="L7" s="12">
        <f>'Cuts Input'!D6*'Cuts Input'!E6*'K6'</f>
        <v/>
      </c>
    </row>
    <row r="8">
      <c r="A8" s="4" t="n">
        <v>3</v>
      </c>
      <c r="B8" s="4" t="inlineStr">
        <is>
          <t>Line B — Polo Shirt</t>
        </is>
      </c>
      <c r="C8" s="4" t="n">
        <v>3</v>
      </c>
      <c r="D8" s="4" t="n">
        <v>5</v>
      </c>
      <c r="E8" s="4" t="n">
        <v>5</v>
      </c>
      <c r="F8" s="17" t="inlineStr">
        <is>
          <t>ON TIME</t>
        </is>
      </c>
      <c r="G8" s="12">
        <f>'Cuts Input'!D7*'Cuts Input'!E7*'F7'</f>
        <v/>
      </c>
      <c r="H8" s="12">
        <f>'Cuts Input'!D7*'Cuts Input'!E7*'G7'</f>
        <v/>
      </c>
      <c r="I8" s="12">
        <f>'Cuts Input'!D7*'Cuts Input'!E7*'H7'</f>
        <v/>
      </c>
      <c r="J8" s="12">
        <f>'Cuts Input'!D7*'Cuts Input'!E7*'I7'</f>
        <v/>
      </c>
      <c r="K8" s="12">
        <f>'Cuts Input'!D7*'Cuts Input'!E7*'J7'</f>
        <v/>
      </c>
      <c r="L8" s="12">
        <f>'Cuts Input'!D7*'Cuts Input'!E7*'K7'</f>
        <v/>
      </c>
    </row>
    <row r="9">
      <c r="A9" s="4" t="n">
        <v>4</v>
      </c>
      <c r="B9" s="4" t="inlineStr">
        <is>
          <t>Line A — T-Shirt</t>
        </is>
      </c>
      <c r="C9" s="4" t="n">
        <v>4</v>
      </c>
      <c r="D9" s="4" t="n">
        <v>6</v>
      </c>
      <c r="E9" s="4" t="n">
        <v>7</v>
      </c>
      <c r="F9" s="18" t="inlineStr">
        <is>
          <t>LATE</t>
        </is>
      </c>
      <c r="G9" s="12">
        <f>'Cuts Input'!D8*'Cuts Input'!E8*'F8'</f>
        <v/>
      </c>
      <c r="H9" s="12">
        <f>'Cuts Input'!D8*'Cuts Input'!E8*'G8'</f>
        <v/>
      </c>
      <c r="I9" s="12">
        <f>'Cuts Input'!D8*'Cuts Input'!E8*'H8'</f>
        <v/>
      </c>
      <c r="J9" s="12">
        <f>'Cuts Input'!D8*'Cuts Input'!E8*'I8'</f>
        <v/>
      </c>
      <c r="K9" s="12">
        <f>'Cuts Input'!D8*'Cuts Input'!E8*'J8'</f>
        <v/>
      </c>
      <c r="L9" s="12">
        <f>'Cuts Input'!D8*'Cuts Input'!E8*'K8'</f>
        <v/>
      </c>
    </row>
    <row r="10">
      <c r="A10" s="4" t="n">
        <v>5</v>
      </c>
      <c r="B10" s="4" t="inlineStr">
        <is>
          <t>Line B — Polo Shirt</t>
        </is>
      </c>
      <c r="C10" s="4" t="n">
        <v>5</v>
      </c>
      <c r="D10" s="4" t="n">
        <v>7</v>
      </c>
      <c r="E10" s="4" t="n">
        <v>7</v>
      </c>
      <c r="F10" s="17" t="inlineStr">
        <is>
          <t>ON TIME</t>
        </is>
      </c>
      <c r="G10" s="12">
        <f>'Cuts Input'!D9*'Cuts Input'!E9*'F9'</f>
        <v/>
      </c>
      <c r="H10" s="12">
        <f>'Cuts Input'!D9*'Cuts Input'!E9*'G9'</f>
        <v/>
      </c>
      <c r="I10" s="12">
        <f>'Cuts Input'!D9*'Cuts Input'!E9*'H9'</f>
        <v/>
      </c>
      <c r="J10" s="12">
        <f>'Cuts Input'!D9*'Cuts Input'!E9*'I9'</f>
        <v/>
      </c>
      <c r="K10" s="12">
        <f>'Cuts Input'!D9*'Cuts Input'!E9*'J9'</f>
        <v/>
      </c>
      <c r="L10" s="12">
        <f>'Cuts Input'!D9*'Cuts Input'!E9*'K9'</f>
        <v/>
      </c>
    </row>
    <row r="11">
      <c r="A11" s="4" t="n">
        <v>6</v>
      </c>
      <c r="B11" s="4" t="inlineStr">
        <is>
          <t>Line A — T-Shirt</t>
        </is>
      </c>
      <c r="C11" s="4" t="n">
        <v>6</v>
      </c>
      <c r="D11" s="4" t="n">
        <v>8</v>
      </c>
      <c r="E11" s="4" t="n">
        <v>6</v>
      </c>
      <c r="F11" s="19" t="inlineStr">
        <is>
          <t>EARLY</t>
        </is>
      </c>
      <c r="G11" s="12">
        <f>'Cuts Input'!D10*'Cuts Input'!E10*'F10'</f>
        <v/>
      </c>
      <c r="H11" s="12">
        <f>'Cuts Input'!D10*'Cuts Input'!E10*'G10'</f>
        <v/>
      </c>
      <c r="I11" s="12">
        <f>'Cuts Input'!D10*'Cuts Input'!E10*'H10'</f>
        <v/>
      </c>
      <c r="J11" s="12">
        <f>'Cuts Input'!D10*'Cuts Input'!E10*'I10'</f>
        <v/>
      </c>
      <c r="K11" s="12">
        <f>'Cuts Input'!D10*'Cuts Input'!E10*'J10'</f>
        <v/>
      </c>
      <c r="L11" s="12">
        <f>'Cuts Input'!D10*'Cuts Input'!E10*'K10'</f>
        <v/>
      </c>
    </row>
    <row r="12">
      <c r="A12" s="4" t="n">
        <v>7</v>
      </c>
      <c r="B12" s="4" t="inlineStr">
        <is>
          <t>Line B — Polo Shirt</t>
        </is>
      </c>
      <c r="C12" s="4" t="n">
        <v>7</v>
      </c>
      <c r="D12" s="4" t="n">
        <v>9</v>
      </c>
      <c r="E12" s="4" t="n">
        <v>9</v>
      </c>
      <c r="F12" s="17" t="inlineStr">
        <is>
          <t>ON TIME</t>
        </is>
      </c>
      <c r="G12" s="12">
        <f>'Cuts Input'!D11*'Cuts Input'!E11*'F11'</f>
        <v/>
      </c>
      <c r="H12" s="12">
        <f>'Cuts Input'!D11*'Cuts Input'!E11*'G11'</f>
        <v/>
      </c>
      <c r="I12" s="12">
        <f>'Cuts Input'!D11*'Cuts Input'!E11*'H11'</f>
        <v/>
      </c>
      <c r="J12" s="12">
        <f>'Cuts Input'!D11*'Cuts Input'!E11*'I11'</f>
        <v/>
      </c>
      <c r="K12" s="12">
        <f>'Cuts Input'!D11*'Cuts Input'!E11*'J11'</f>
        <v/>
      </c>
      <c r="L12" s="12">
        <f>'Cuts Input'!D11*'Cuts Input'!E11*'K11'</f>
        <v/>
      </c>
    </row>
    <row r="13">
      <c r="A13" s="4" t="n">
        <v>8</v>
      </c>
      <c r="B13" s="4" t="inlineStr">
        <is>
          <t>Line A — T-Shirt</t>
        </is>
      </c>
      <c r="C13" s="4" t="n">
        <v>8</v>
      </c>
      <c r="D13" s="4" t="n">
        <v>10</v>
      </c>
      <c r="E13" s="4" t="n">
        <v>10</v>
      </c>
      <c r="F13" s="17" t="inlineStr">
        <is>
          <t>ON TIME</t>
        </is>
      </c>
      <c r="G13" s="12">
        <f>'Cuts Input'!D12*'Cuts Input'!E12*'F12'</f>
        <v/>
      </c>
      <c r="H13" s="12">
        <f>'Cuts Input'!D12*'Cuts Input'!E12*'G12'</f>
        <v/>
      </c>
      <c r="I13" s="12">
        <f>'Cuts Input'!D12*'Cuts Input'!E12*'H12'</f>
        <v/>
      </c>
      <c r="J13" s="12">
        <f>'Cuts Input'!D12*'Cuts Input'!E12*'I12'</f>
        <v/>
      </c>
      <c r="K13" s="12">
        <f>'Cuts Input'!D12*'Cuts Input'!E12*'J12'</f>
        <v/>
      </c>
      <c r="L13" s="12">
        <f>'Cuts Input'!D12*'Cuts Input'!E12*'K12'</f>
        <v/>
      </c>
    </row>
    <row r="14">
      <c r="A14" s="4" t="n">
        <v>9</v>
      </c>
      <c r="B14" s="4" t="inlineStr">
        <is>
          <t>Line B — Polo Shirt</t>
        </is>
      </c>
      <c r="C14" s="4" t="n">
        <v>9</v>
      </c>
      <c r="D14" s="4" t="n">
        <v>11</v>
      </c>
      <c r="E14" s="4" t="n">
        <v>12</v>
      </c>
      <c r="F14" s="18" t="inlineStr">
        <is>
          <t>LATE</t>
        </is>
      </c>
      <c r="G14" s="12">
        <f>'Cuts Input'!D13*'Cuts Input'!E13*'F13'</f>
        <v/>
      </c>
      <c r="H14" s="12">
        <f>'Cuts Input'!D13*'Cuts Input'!E13*'G13'</f>
        <v/>
      </c>
      <c r="I14" s="12">
        <f>'Cuts Input'!D13*'Cuts Input'!E13*'H13'</f>
        <v/>
      </c>
      <c r="J14" s="12">
        <f>'Cuts Input'!D13*'Cuts Input'!E13*'I13'</f>
        <v/>
      </c>
      <c r="K14" s="12">
        <f>'Cuts Input'!D13*'Cuts Input'!E13*'J13'</f>
        <v/>
      </c>
      <c r="L14" s="12">
        <f>'Cuts Input'!D13*'Cuts Input'!E13*'K13'</f>
        <v/>
      </c>
    </row>
    <row r="15">
      <c r="A15" s="4" t="n">
        <v>10</v>
      </c>
      <c r="B15" s="4" t="inlineStr">
        <is>
          <t>Line A — T-Shirt</t>
        </is>
      </c>
      <c r="C15" s="4" t="n">
        <v>10</v>
      </c>
      <c r="D15" s="4" t="n">
        <v>12</v>
      </c>
      <c r="E15" s="4" t="n">
        <v>12</v>
      </c>
      <c r="F15" s="17" t="inlineStr">
        <is>
          <t>ON TIME</t>
        </is>
      </c>
      <c r="G15" s="12">
        <f>'Cuts Input'!D14*'Cuts Input'!E14*'F14'</f>
        <v/>
      </c>
      <c r="H15" s="12">
        <f>'Cuts Input'!D14*'Cuts Input'!E14*'G14'</f>
        <v/>
      </c>
      <c r="I15" s="12">
        <f>'Cuts Input'!D14*'Cuts Input'!E14*'H14'</f>
        <v/>
      </c>
      <c r="J15" s="12">
        <f>'Cuts Input'!D14*'Cuts Input'!E14*'I14'</f>
        <v/>
      </c>
      <c r="K15" s="12">
        <f>'Cuts Input'!D14*'Cuts Input'!E14*'J14'</f>
        <v/>
      </c>
      <c r="L15" s="12">
        <f>'Cuts Input'!D14*'Cuts Input'!E14*'K14'</f>
        <v/>
      </c>
    </row>
    <row r="16">
      <c r="A16" s="4" t="n">
        <v>11</v>
      </c>
      <c r="B16" s="4" t="inlineStr">
        <is>
          <t>Line B — Polo Shirt</t>
        </is>
      </c>
      <c r="C16" s="4" t="n">
        <v>11</v>
      </c>
      <c r="D16" s="4" t="n">
        <v>13</v>
      </c>
      <c r="E16" s="4" t="n">
        <v>11</v>
      </c>
      <c r="F16" s="19" t="inlineStr">
        <is>
          <t>EARLY</t>
        </is>
      </c>
      <c r="G16" s="12">
        <f>'Cuts Input'!D15*'Cuts Input'!E15*'F15'</f>
        <v/>
      </c>
      <c r="H16" s="12">
        <f>'Cuts Input'!D15*'Cuts Input'!E15*'G15'</f>
        <v/>
      </c>
      <c r="I16" s="12">
        <f>'Cuts Input'!D15*'Cuts Input'!E15*'H15'</f>
        <v/>
      </c>
      <c r="J16" s="12">
        <f>'Cuts Input'!D15*'Cuts Input'!E15*'I15'</f>
        <v/>
      </c>
      <c r="K16" s="12">
        <f>'Cuts Input'!D15*'Cuts Input'!E15*'J15'</f>
        <v/>
      </c>
      <c r="L16" s="12">
        <f>'Cuts Input'!D15*'Cuts Input'!E15*'K15'</f>
        <v/>
      </c>
    </row>
    <row r="17">
      <c r="A17" s="4" t="n">
        <v>12</v>
      </c>
      <c r="B17" s="4" t="inlineStr">
        <is>
          <t>Line A — T-Shirt</t>
        </is>
      </c>
      <c r="C17" s="4" t="n">
        <v>12</v>
      </c>
      <c r="D17" s="4" t="n">
        <v>14</v>
      </c>
      <c r="E17" s="4" t="n">
        <v>14</v>
      </c>
      <c r="F17" s="17" t="inlineStr">
        <is>
          <t>ON TIME</t>
        </is>
      </c>
      <c r="G17" s="12">
        <f>'Cuts Input'!D16*'Cuts Input'!E16*'F16'</f>
        <v/>
      </c>
      <c r="H17" s="12">
        <f>'Cuts Input'!D16*'Cuts Input'!E16*'G16'</f>
        <v/>
      </c>
      <c r="I17" s="12">
        <f>'Cuts Input'!D16*'Cuts Input'!E16*'H16'</f>
        <v/>
      </c>
      <c r="J17" s="12">
        <f>'Cuts Input'!D16*'Cuts Input'!E16*'I16'</f>
        <v/>
      </c>
      <c r="K17" s="12">
        <f>'Cuts Input'!D16*'Cuts Input'!E16*'J16'</f>
        <v/>
      </c>
      <c r="L17" s="12">
        <f>'Cuts Input'!D16*'Cuts Input'!E16*'K16'</f>
        <v/>
      </c>
    </row>
    <row r="18">
      <c r="A18" s="4" t="n">
        <v>13</v>
      </c>
      <c r="B18" s="4" t="inlineStr">
        <is>
          <t>Line B — Polo Shirt</t>
        </is>
      </c>
      <c r="C18" s="4" t="n">
        <v>13</v>
      </c>
      <c r="D18" s="4" t="n">
        <v>15</v>
      </c>
      <c r="E18" s="4" t="n">
        <v>15</v>
      </c>
      <c r="F18" s="17" t="inlineStr">
        <is>
          <t>ON TIME</t>
        </is>
      </c>
      <c r="G18" s="12">
        <f>'Cuts Input'!D17*'Cuts Input'!E17*'F17'</f>
        <v/>
      </c>
      <c r="H18" s="12">
        <f>'Cuts Input'!D17*'Cuts Input'!E17*'G17'</f>
        <v/>
      </c>
      <c r="I18" s="12">
        <f>'Cuts Input'!D17*'Cuts Input'!E17*'H17'</f>
        <v/>
      </c>
      <c r="J18" s="12">
        <f>'Cuts Input'!D17*'Cuts Input'!E17*'I17'</f>
        <v/>
      </c>
      <c r="K18" s="12">
        <f>'Cuts Input'!D17*'Cuts Input'!E17*'J17'</f>
        <v/>
      </c>
      <c r="L18" s="12">
        <f>'Cuts Input'!D17*'Cuts Input'!E17*'K17'</f>
        <v/>
      </c>
    </row>
    <row r="19">
      <c r="A19" s="4" t="n">
        <v>14</v>
      </c>
      <c r="B19" s="4" t="inlineStr">
        <is>
          <t>Line A — T-Shirt</t>
        </is>
      </c>
      <c r="C19" s="4" t="n">
        <v>14</v>
      </c>
      <c r="D19" s="4" t="n">
        <v>16</v>
      </c>
      <c r="E19" s="4" t="n">
        <v>17</v>
      </c>
      <c r="F19" s="18" t="inlineStr">
        <is>
          <t>LATE</t>
        </is>
      </c>
      <c r="G19" s="12">
        <f>'Cuts Input'!D18*'Cuts Input'!E18*'F18'</f>
        <v/>
      </c>
      <c r="H19" s="12">
        <f>'Cuts Input'!D18*'Cuts Input'!E18*'G18'</f>
        <v/>
      </c>
      <c r="I19" s="12">
        <f>'Cuts Input'!D18*'Cuts Input'!E18*'H18'</f>
        <v/>
      </c>
      <c r="J19" s="12">
        <f>'Cuts Input'!D18*'Cuts Input'!E18*'I18'</f>
        <v/>
      </c>
      <c r="K19" s="12">
        <f>'Cuts Input'!D18*'Cuts Input'!E18*'J18'</f>
        <v/>
      </c>
      <c r="L19" s="12">
        <f>'Cuts Input'!D18*'Cuts Input'!E18*'K18'</f>
        <v/>
      </c>
    </row>
    <row r="22">
      <c r="A22" s="16" t="inlineStr">
        <is>
          <t>DIAGONAL MATRIX — Cut Day vs Ship Day</t>
        </is>
      </c>
    </row>
    <row r="23">
      <c r="A23" s="20" t="inlineStr">
        <is>
          <t>Legend:</t>
        </is>
      </c>
      <c r="B23" s="21" t="inlineStr">
        <is>
          <t>On Time</t>
        </is>
      </c>
      <c r="C23" s="22" t="inlineStr">
        <is>
          <t>Early</t>
        </is>
      </c>
      <c r="D23" s="23" t="inlineStr">
        <is>
          <t>Late</t>
        </is>
      </c>
    </row>
    <row r="24">
      <c r="A24" s="3" t="inlineStr">
        <is>
          <t>Cut \ Ship →</t>
        </is>
      </c>
      <c r="B24" s="3" t="inlineStr">
        <is>
          <t>Day 1</t>
        </is>
      </c>
      <c r="C24" s="3" t="inlineStr">
        <is>
          <t>Day 2</t>
        </is>
      </c>
      <c r="D24" s="3" t="inlineStr">
        <is>
          <t>Day 3</t>
        </is>
      </c>
      <c r="E24" s="3" t="inlineStr">
        <is>
          <t>Day 4</t>
        </is>
      </c>
      <c r="F24" s="3" t="inlineStr">
        <is>
          <t>Day 5</t>
        </is>
      </c>
      <c r="G24" s="3" t="inlineStr">
        <is>
          <t>Day 6</t>
        </is>
      </c>
      <c r="H24" s="3" t="inlineStr">
        <is>
          <t>Day 7</t>
        </is>
      </c>
      <c r="I24" s="3" t="inlineStr">
        <is>
          <t>Day 8</t>
        </is>
      </c>
      <c r="J24" s="3" t="inlineStr">
        <is>
          <t>Day 9</t>
        </is>
      </c>
      <c r="K24" s="3" t="inlineStr">
        <is>
          <t>Day 10</t>
        </is>
      </c>
      <c r="L24" s="3" t="inlineStr">
        <is>
          <t>Day 11</t>
        </is>
      </c>
      <c r="M24" s="3" t="inlineStr">
        <is>
          <t>Day 12</t>
        </is>
      </c>
      <c r="N24" s="3" t="inlineStr">
        <is>
          <t>Day 13</t>
        </is>
      </c>
      <c r="O24" s="3" t="inlineStr">
        <is>
          <t>Day 14</t>
        </is>
      </c>
      <c r="P24" s="3" t="inlineStr">
        <is>
          <t>Day 15</t>
        </is>
      </c>
      <c r="Q24" s="3" t="inlineStr">
        <is>
          <t>Day 16</t>
        </is>
      </c>
      <c r="R24" s="3" t="inlineStr">
        <is>
          <t>Day 17</t>
        </is>
      </c>
    </row>
    <row r="25">
      <c r="A25" s="24" t="inlineStr">
        <is>
          <t>Day 1</t>
        </is>
      </c>
      <c r="B25" s="25" t="n"/>
      <c r="C25" s="25" t="n"/>
      <c r="D25" s="17" t="inlineStr">
        <is>
          <t>C1</t>
        </is>
      </c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</row>
    <row r="26">
      <c r="A26" s="24" t="inlineStr">
        <is>
          <t>Day 2</t>
        </is>
      </c>
      <c r="B26" s="25" t="n"/>
      <c r="C26" s="25" t="n"/>
      <c r="D26" s="25" t="n"/>
      <c r="E26" s="17" t="inlineStr">
        <is>
          <t>C2</t>
        </is>
      </c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</row>
    <row r="27">
      <c r="A27" s="24" t="inlineStr">
        <is>
          <t>Day 3</t>
        </is>
      </c>
      <c r="B27" s="25" t="n"/>
      <c r="C27" s="25" t="n"/>
      <c r="D27" s="25" t="n"/>
      <c r="E27" s="25" t="n"/>
      <c r="F27" s="17" t="inlineStr">
        <is>
          <t>C3</t>
        </is>
      </c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</row>
    <row r="28">
      <c r="A28" s="24" t="inlineStr">
        <is>
          <t>Day 4</t>
        </is>
      </c>
      <c r="B28" s="25" t="n"/>
      <c r="C28" s="25" t="n"/>
      <c r="D28" s="25" t="n"/>
      <c r="E28" s="25" t="n"/>
      <c r="F28" s="25" t="n"/>
      <c r="G28" s="25" t="n"/>
      <c r="H28" s="18" t="inlineStr">
        <is>
          <t>C4</t>
        </is>
      </c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</row>
    <row r="29">
      <c r="A29" s="24" t="inlineStr">
        <is>
          <t>Day 5</t>
        </is>
      </c>
      <c r="B29" s="25" t="n"/>
      <c r="C29" s="25" t="n"/>
      <c r="D29" s="25" t="n"/>
      <c r="E29" s="25" t="n"/>
      <c r="F29" s="25" t="n"/>
      <c r="G29" s="25" t="n"/>
      <c r="H29" s="17" t="inlineStr">
        <is>
          <t>C5</t>
        </is>
      </c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</row>
    <row r="30">
      <c r="A30" s="24" t="inlineStr">
        <is>
          <t>Day 6</t>
        </is>
      </c>
      <c r="B30" s="25" t="n"/>
      <c r="C30" s="25" t="n"/>
      <c r="D30" s="25" t="n"/>
      <c r="E30" s="25" t="n"/>
      <c r="F30" s="25" t="n"/>
      <c r="G30" s="19" t="inlineStr">
        <is>
          <t>C6</t>
        </is>
      </c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</row>
    <row r="31">
      <c r="A31" s="24" t="inlineStr">
        <is>
          <t>Day 7</t>
        </is>
      </c>
      <c r="B31" s="25" t="n"/>
      <c r="C31" s="25" t="n"/>
      <c r="D31" s="25" t="n"/>
      <c r="E31" s="25" t="n"/>
      <c r="F31" s="25" t="n"/>
      <c r="G31" s="25" t="n"/>
      <c r="H31" s="25" t="n"/>
      <c r="I31" s="25" t="n"/>
      <c r="J31" s="17" t="inlineStr">
        <is>
          <t>C7</t>
        </is>
      </c>
      <c r="K31" s="25" t="n"/>
      <c r="L31" s="25" t="n"/>
      <c r="M31" s="25" t="n"/>
      <c r="N31" s="25" t="n"/>
      <c r="O31" s="25" t="n"/>
      <c r="P31" s="25" t="n"/>
      <c r="Q31" s="25" t="n"/>
      <c r="R31" s="25" t="n"/>
    </row>
    <row r="32">
      <c r="A32" s="24" t="inlineStr">
        <is>
          <t>Day 8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17" t="inlineStr">
        <is>
          <t>C8</t>
        </is>
      </c>
      <c r="L32" s="25" t="n"/>
      <c r="M32" s="25" t="n"/>
      <c r="N32" s="25" t="n"/>
      <c r="O32" s="25" t="n"/>
      <c r="P32" s="25" t="n"/>
      <c r="Q32" s="25" t="n"/>
      <c r="R32" s="25" t="n"/>
    </row>
    <row r="33">
      <c r="A33" s="24" t="inlineStr">
        <is>
          <t>Day 9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18" t="inlineStr">
        <is>
          <t>C9</t>
        </is>
      </c>
      <c r="N33" s="25" t="n"/>
      <c r="O33" s="25" t="n"/>
      <c r="P33" s="25" t="n"/>
      <c r="Q33" s="25" t="n"/>
      <c r="R33" s="25" t="n"/>
    </row>
    <row r="34">
      <c r="A34" s="24" t="inlineStr">
        <is>
          <t>Day 10</t>
        </is>
      </c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17" t="inlineStr">
        <is>
          <t>C10</t>
        </is>
      </c>
      <c r="N34" s="25" t="n"/>
      <c r="O34" s="25" t="n"/>
      <c r="P34" s="25" t="n"/>
      <c r="Q34" s="25" t="n"/>
      <c r="R34" s="25" t="n"/>
    </row>
    <row r="35">
      <c r="A35" s="24" t="inlineStr">
        <is>
          <t>Day 11</t>
        </is>
      </c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19" t="inlineStr">
        <is>
          <t>C11</t>
        </is>
      </c>
      <c r="M35" s="25" t="n"/>
      <c r="N35" s="25" t="n"/>
      <c r="O35" s="25" t="n"/>
      <c r="P35" s="25" t="n"/>
      <c r="Q35" s="25" t="n"/>
      <c r="R35" s="25" t="n"/>
    </row>
    <row r="36">
      <c r="A36" s="24" t="inlineStr">
        <is>
          <t>Day 12</t>
        </is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17" t="inlineStr">
        <is>
          <t>C12</t>
        </is>
      </c>
      <c r="P36" s="25" t="n"/>
      <c r="Q36" s="25" t="n"/>
      <c r="R36" s="25" t="n"/>
    </row>
    <row r="37">
      <c r="A37" s="24" t="inlineStr">
        <is>
          <t>Day 13</t>
        </is>
      </c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17" t="inlineStr">
        <is>
          <t>C13</t>
        </is>
      </c>
      <c r="Q37" s="25" t="n"/>
      <c r="R37" s="25" t="n"/>
    </row>
    <row r="38">
      <c r="A38" s="24" t="inlineStr">
        <is>
          <t>Day 14</t>
        </is>
      </c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18" t="inlineStr">
        <is>
          <t>C14</t>
        </is>
      </c>
    </row>
    <row r="39">
      <c r="A39" s="24" t="inlineStr">
        <is>
          <t>Day 15</t>
        </is>
      </c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</row>
    <row r="40">
      <c r="A40" s="24" t="inlineStr">
        <is>
          <t>Day 16</t>
        </is>
      </c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</row>
    <row r="41">
      <c r="A41" s="24" t="inlineStr">
        <is>
          <t>Day 17</t>
        </is>
      </c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</row>
    <row r="43">
      <c r="A43" s="16" t="inlineStr">
        <is>
          <t>STATUS SUMMARY</t>
        </is>
      </c>
    </row>
    <row r="44">
      <c r="A44" s="3" t="inlineStr">
        <is>
          <t>Status</t>
        </is>
      </c>
      <c r="B44" s="3" t="inlineStr">
        <is>
          <t>Count</t>
        </is>
      </c>
      <c r="C44" s="3" t="inlineStr">
        <is>
          <t>% of Total</t>
        </is>
      </c>
    </row>
    <row r="45">
      <c r="A45" s="17" t="inlineStr">
        <is>
          <t>ON TIME</t>
        </is>
      </c>
      <c r="B45" s="4" t="n">
        <v>9</v>
      </c>
      <c r="C45" s="26" t="n">
        <v>0.6428571428571429</v>
      </c>
    </row>
    <row r="46">
      <c r="A46" s="19" t="inlineStr">
        <is>
          <t>EARLY</t>
        </is>
      </c>
      <c r="B46" s="4" t="n">
        <v>2</v>
      </c>
      <c r="C46" s="26" t="n">
        <v>0.1428571428571428</v>
      </c>
    </row>
    <row r="47">
      <c r="A47" s="18" t="inlineStr">
        <is>
          <t>LATE</t>
        </is>
      </c>
      <c r="B47" s="4" t="n">
        <v>3</v>
      </c>
      <c r="C47" s="26" t="n">
        <v>0.2142857142857143</v>
      </c>
    </row>
    <row r="48">
      <c r="A48" s="9" t="inlineStr">
        <is>
          <t>TOTAL</t>
        </is>
      </c>
      <c r="B48" s="9" t="n">
        <v>14</v>
      </c>
      <c r="C48" s="27" t="n">
        <v>1</v>
      </c>
    </row>
  </sheetData>
  <mergeCells count="5">
    <mergeCell ref="A22:J22"/>
    <mergeCell ref="A1:P1"/>
    <mergeCell ref="A43:D43"/>
    <mergeCell ref="A4:L4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35" customHeight="1">
      <c r="A1" s="28" t="inlineStr">
        <is>
          <t>DASHBOARD — CLOTHES PRODUCTION</t>
        </is>
      </c>
    </row>
    <row r="2">
      <c r="A2" s="29" t="inlineStr">
        <is>
          <t>2 Product Lines  |  6 Sizes  |  14 Cuts  |  Plan vs Actual Tracking</t>
        </is>
      </c>
    </row>
    <row r="4">
      <c r="A4" s="30" t="inlineStr">
        <is>
          <t>Total Cuts</t>
        </is>
      </c>
      <c r="B4" s="31" t="n"/>
      <c r="C4" s="30" t="inlineStr">
        <is>
          <t>Total Pieces</t>
        </is>
      </c>
      <c r="D4" s="31" t="n"/>
      <c r="E4" s="30" t="inlineStr">
        <is>
          <t>On-Time %</t>
        </is>
      </c>
      <c r="F4" s="31" t="n"/>
      <c r="G4" s="30" t="inlineStr">
        <is>
          <t>Early %</t>
        </is>
      </c>
      <c r="H4" s="31" t="n"/>
      <c r="I4" s="30" t="inlineStr">
        <is>
          <t>Late %</t>
        </is>
      </c>
      <c r="J4" s="31" t="n"/>
      <c r="K4" s="30" t="inlineStr">
        <is>
          <t>Product Lines</t>
        </is>
      </c>
      <c r="L4" s="31" t="n"/>
      <c r="M4" s="30" t="inlineStr">
        <is>
          <t>Size Range</t>
        </is>
      </c>
      <c r="N4" s="31" t="n"/>
      <c r="O4" s="30" t="inlineStr">
        <is>
          <t>Days Scheduled</t>
        </is>
      </c>
      <c r="P4" s="31" t="n"/>
    </row>
    <row r="5">
      <c r="A5" s="32">
        <f>'Cuts Input'!L19</f>
        <v/>
      </c>
      <c r="B5" s="31" t="n"/>
      <c r="C5" s="32">
        <f>'Cuts Input'!L19</f>
        <v/>
      </c>
      <c r="D5" s="31" t="n"/>
      <c r="E5" s="33">
        <f>'Timeline Diagonal'!C45</f>
        <v/>
      </c>
      <c r="F5" s="31" t="n"/>
      <c r="G5" s="33">
        <f>'Timeline Diagonal'!C46</f>
        <v/>
      </c>
      <c r="H5" s="31" t="n"/>
      <c r="I5" s="33">
        <f>'Timeline Diagonal'!C47</f>
        <v/>
      </c>
      <c r="J5" s="31" t="n"/>
      <c r="K5" s="32" t="n">
        <v>2</v>
      </c>
      <c r="L5" s="31" t="n"/>
      <c r="M5" s="32" t="inlineStr">
        <is>
          <t>S — XXXL</t>
        </is>
      </c>
      <c r="N5" s="31" t="n"/>
      <c r="O5" s="32" t="n">
        <v>14</v>
      </c>
      <c r="P5" s="31" t="n"/>
    </row>
    <row r="8">
      <c r="A8" s="34" t="inlineStr">
        <is>
          <t>Output by Size</t>
        </is>
      </c>
    </row>
    <row r="9">
      <c r="A9" t="inlineStr">
        <is>
          <t>Size</t>
        </is>
      </c>
      <c r="B9" t="inlineStr">
        <is>
          <t>Pieces</t>
        </is>
      </c>
    </row>
    <row r="10">
      <c r="A10" s="4" t="inlineStr">
        <is>
          <t>S</t>
        </is>
      </c>
      <c r="B10" s="12">
        <f>'Output by Size'!D19</f>
        <v/>
      </c>
    </row>
    <row r="11">
      <c r="A11" s="4" t="inlineStr">
        <is>
          <t>M</t>
        </is>
      </c>
      <c r="B11" s="12">
        <f>'Output by Size'!E19</f>
        <v/>
      </c>
    </row>
    <row r="12">
      <c r="A12" s="4" t="inlineStr">
        <is>
          <t>L</t>
        </is>
      </c>
      <c r="B12" s="12">
        <f>'Output by Size'!F19</f>
        <v/>
      </c>
    </row>
    <row r="13">
      <c r="A13" s="4" t="inlineStr">
        <is>
          <t>XL</t>
        </is>
      </c>
      <c r="B13" s="12">
        <f>'Output by Size'!G19</f>
        <v/>
      </c>
    </row>
    <row r="14">
      <c r="A14" s="4" t="inlineStr">
        <is>
          <t>XXL</t>
        </is>
      </c>
      <c r="B14" s="12">
        <f>'Output by Size'!H19</f>
        <v/>
      </c>
    </row>
    <row r="15">
      <c r="A15" s="4" t="inlineStr">
        <is>
          <t>XXXL</t>
        </is>
      </c>
      <c r="B15" s="12">
        <f>'Output by Size'!I19</f>
        <v/>
      </c>
    </row>
    <row r="18">
      <c r="A18" s="34" t="inlineStr">
        <is>
          <t>Output by Line</t>
        </is>
      </c>
    </row>
    <row r="19">
      <c r="A19" t="inlineStr">
        <is>
          <t>Line</t>
        </is>
      </c>
      <c r="B19" t="inlineStr">
        <is>
          <t>Pieces</t>
        </is>
      </c>
    </row>
    <row r="20">
      <c r="A20" s="13" t="inlineStr">
        <is>
          <t>Line A — T-Shirt</t>
        </is>
      </c>
      <c r="B20" s="35">
        <f>'Output by Size'!K6</f>
        <v/>
      </c>
    </row>
    <row r="21">
      <c r="A21" s="13" t="inlineStr">
        <is>
          <t>Line B — Polo Shirt</t>
        </is>
      </c>
      <c r="B21" s="35">
        <f>'Output by Size'!K7</f>
        <v/>
      </c>
    </row>
    <row r="24">
      <c r="A24" s="34" t="inlineStr">
        <is>
          <t>Plan vs Actual (Pieces/Day)</t>
        </is>
      </c>
    </row>
    <row r="25">
      <c r="A25" t="inlineStr">
        <is>
          <t>Day</t>
        </is>
      </c>
      <c r="B25" t="inlineStr">
        <is>
          <t>Planned</t>
        </is>
      </c>
      <c r="C25" t="inlineStr">
        <is>
          <t>Actual</t>
        </is>
      </c>
    </row>
    <row r="26">
      <c r="A26" s="4" t="inlineStr">
        <is>
          <t>Day 1</t>
        </is>
      </c>
      <c r="B26" s="35" t="n">
        <v>0</v>
      </c>
      <c r="C26" s="35" t="n">
        <v>0</v>
      </c>
    </row>
    <row r="27">
      <c r="A27" s="4" t="inlineStr">
        <is>
          <t>Day 2</t>
        </is>
      </c>
      <c r="B27" s="35" t="n">
        <v>0</v>
      </c>
      <c r="C27" s="35" t="n">
        <v>0</v>
      </c>
    </row>
    <row r="28">
      <c r="A28" s="4" t="inlineStr">
        <is>
          <t>Day 3</t>
        </is>
      </c>
      <c r="B28" s="35" t="n">
        <v>400</v>
      </c>
      <c r="C28" s="35" t="n">
        <v>400</v>
      </c>
    </row>
    <row r="29">
      <c r="A29" s="4" t="inlineStr">
        <is>
          <t>Day 4</t>
        </is>
      </c>
      <c r="B29" s="35" t="n">
        <v>480</v>
      </c>
      <c r="C29" s="35" t="n">
        <v>480</v>
      </c>
    </row>
    <row r="30">
      <c r="A30" s="4" t="inlineStr">
        <is>
          <t>Day 5</t>
        </is>
      </c>
      <c r="B30" s="35" t="n">
        <v>360</v>
      </c>
      <c r="C30" s="35" t="n">
        <v>360</v>
      </c>
    </row>
    <row r="31">
      <c r="A31" s="4" t="inlineStr">
        <is>
          <t>Day 6</t>
        </is>
      </c>
      <c r="B31" s="35" t="n">
        <v>448</v>
      </c>
      <c r="C31" s="35" t="n">
        <v>560</v>
      </c>
    </row>
    <row r="32">
      <c r="A32" s="4" t="inlineStr">
        <is>
          <t>Day 7</t>
        </is>
      </c>
      <c r="B32" s="35" t="n">
        <v>396</v>
      </c>
      <c r="C32" s="35" t="n">
        <v>844</v>
      </c>
    </row>
    <row r="33">
      <c r="A33" s="4" t="inlineStr">
        <is>
          <t>Day 8</t>
        </is>
      </c>
      <c r="B33" s="35" t="n">
        <v>560</v>
      </c>
      <c r="C33" s="35" t="n">
        <v>0</v>
      </c>
    </row>
    <row r="34">
      <c r="A34" s="4" t="inlineStr">
        <is>
          <t>Day 9</t>
        </is>
      </c>
      <c r="B34" s="35" t="n">
        <v>324</v>
      </c>
      <c r="C34" s="35" t="n">
        <v>324</v>
      </c>
    </row>
    <row r="35">
      <c r="A35" s="4" t="inlineStr">
        <is>
          <t>Day 10</t>
        </is>
      </c>
      <c r="B35" s="35" t="n">
        <v>512</v>
      </c>
      <c r="C35" s="35" t="n">
        <v>512</v>
      </c>
    </row>
    <row r="36">
      <c r="A36" s="4" t="inlineStr">
        <is>
          <t>Day 11</t>
        </is>
      </c>
      <c r="B36" s="35" t="n">
        <v>432</v>
      </c>
      <c r="C36" s="35" t="n">
        <v>468</v>
      </c>
    </row>
    <row r="37">
      <c r="A37" s="4" t="inlineStr">
        <is>
          <t>Day 12</t>
        </is>
      </c>
      <c r="B37" s="35" t="n">
        <v>432</v>
      </c>
      <c r="C37" s="35" t="n">
        <v>864</v>
      </c>
    </row>
    <row r="38">
      <c r="A38" s="4" t="inlineStr">
        <is>
          <t>Day 13</t>
        </is>
      </c>
      <c r="B38" s="35" t="n">
        <v>468</v>
      </c>
      <c r="C38" s="35" t="n">
        <v>0</v>
      </c>
    </row>
    <row r="39">
      <c r="A39" s="4" t="inlineStr">
        <is>
          <t>Day 14</t>
        </is>
      </c>
      <c r="B39" s="35" t="n">
        <v>480</v>
      </c>
      <c r="C39" s="35" t="n">
        <v>480</v>
      </c>
    </row>
    <row r="40">
      <c r="A40" s="4" t="inlineStr">
        <is>
          <t>Day 15</t>
        </is>
      </c>
      <c r="B40" s="35" t="n">
        <v>360</v>
      </c>
      <c r="C40" s="35" t="n">
        <v>360</v>
      </c>
    </row>
    <row r="41">
      <c r="A41" s="4" t="inlineStr">
        <is>
          <t>Day 16</t>
        </is>
      </c>
      <c r="B41" s="35" t="n">
        <v>544</v>
      </c>
      <c r="C41" s="35" t="n">
        <v>0</v>
      </c>
    </row>
    <row r="42">
      <c r="A42" s="4" t="inlineStr">
        <is>
          <t>Day 17</t>
        </is>
      </c>
      <c r="B42" s="35" t="n">
        <v>0</v>
      </c>
      <c r="C42" s="35" t="n">
        <v>544</v>
      </c>
    </row>
    <row r="43">
      <c r="A43" s="34" t="inlineStr">
        <is>
          <t>On-Time Status</t>
        </is>
      </c>
    </row>
    <row r="44">
      <c r="A44" t="inlineStr">
        <is>
          <t>Status</t>
        </is>
      </c>
      <c r="B44" t="inlineStr">
        <is>
          <t>Count</t>
        </is>
      </c>
    </row>
    <row r="45">
      <c r="A45" s="36" t="inlineStr">
        <is>
          <t>On Time</t>
        </is>
      </c>
      <c r="B45" s="36" t="n">
        <v>9</v>
      </c>
    </row>
    <row r="46">
      <c r="A46" s="36" t="inlineStr">
        <is>
          <t>Early</t>
        </is>
      </c>
      <c r="B46" s="36" t="n">
        <v>2</v>
      </c>
    </row>
    <row r="47">
      <c r="A47" s="36" t="inlineStr">
        <is>
          <t>Late</t>
        </is>
      </c>
      <c r="B47" s="36" t="n">
        <v>3</v>
      </c>
    </row>
  </sheetData>
  <mergeCells count="18">
    <mergeCell ref="A4:B4"/>
    <mergeCell ref="G4:H4"/>
    <mergeCell ref="E4:F4"/>
    <mergeCell ref="I4:J4"/>
    <mergeCell ref="O5:P5"/>
    <mergeCell ref="A2:R2"/>
    <mergeCell ref="C5:D5"/>
    <mergeCell ref="A5:B5"/>
    <mergeCell ref="G5:H5"/>
    <mergeCell ref="E5:F5"/>
    <mergeCell ref="K5:L5"/>
    <mergeCell ref="I5:J5"/>
    <mergeCell ref="A1:R1"/>
    <mergeCell ref="M5:N5"/>
    <mergeCell ref="K4:L4"/>
    <mergeCell ref="O4:P4"/>
    <mergeCell ref="M4:N4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2026-08-08T17:46:19Z</dcterms:created>
  <dcterms:modified xsi:type="dcterms:W3CDTF">2026-08-08T17:46:20Z</dcterms:modified>
</cp:coreProperties>
</file>